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w to use" sheetId="1" r:id="rId5"/>
    <sheet state="visible" name="Risk Register" sheetId="2" r:id="rId6"/>
    <sheet state="visible" name="Scales" sheetId="3" r:id="rId7"/>
  </sheets>
  <definedNames>
    <definedName hidden="1" localSheetId="1" name="_xlnm._FilterDatabase">'Risk Register'!$A$1:$P$26</definedName>
  </definedNames>
  <calcPr/>
</workbook>
</file>

<file path=xl/sharedStrings.xml><?xml version="1.0" encoding="utf-8"?>
<sst xmlns="http://schemas.openxmlformats.org/spreadsheetml/2006/main" count="71" uniqueCount="65">
  <si>
    <t>Risk Register template, Module 4, Session 1</t>
  </si>
  <si>
    <t>ID</t>
  </si>
  <si>
    <t>Keep this register in your repository root (RISK-REGISTER.xlsx or exported to RISK-REGISTER.md). Write it before any code. Every later control in the project answers a row here.</t>
  </si>
  <si>
    <t>Rules</t>
  </si>
  <si>
    <t>Score</t>
  </si>
  <si>
    <t>1. One row per risk. Five to ten rows is the expected size. Name a concrete asset and a specific threat; generic rows score poorly.</t>
  </si>
  <si>
    <t>2. Register column: Operational = risk from the AI agent in the engineering workflow; Internal = risk in the security function your project serves; External = risk from the live threat landscape.</t>
  </si>
  <si>
    <t>3. Score Likelihood and Impact 1 to 5 using the Scales sheet. Inherent score is computed. Score again after the control to get the residual score, and defend the drop.</t>
  </si>
  <si>
    <t>4. Evidence must point to something a reviewer can open in the cloned repository: a file path, a workflow name, a test ID, a CI run, a screenshot in docs/. A row marked Implemented or Verified with empty Evidence turns red.</t>
  </si>
  <si>
    <t>5. Every pull request description cites the risk IDs it addresses. The commit history should read as the register being closed row by row.</t>
  </si>
  <si>
    <t>6. Status: Open, Implemented (control exists), Verified (evidence reviewed), Accepted (risk consciously left as is, with a reason in the Control column).</t>
  </si>
  <si>
    <t>Register</t>
  </si>
  <si>
    <t>The five sample rows are examples of the expected specificity. Replace them with your own.</t>
  </si>
  <si>
    <t>Likelihood</t>
  </si>
  <si>
    <t>Asset</t>
  </si>
  <si>
    <t>Impact</t>
  </si>
  <si>
    <t>Threat / technique</t>
  </si>
  <si>
    <t>ATT&amp;CK ID</t>
  </si>
  <si>
    <t>Vulnerability</t>
  </si>
  <si>
    <t>Likelihood (1-5)</t>
  </si>
  <si>
    <t>Impact (1-5)</t>
  </si>
  <si>
    <t>Rare: no realistic path with current controls</t>
  </si>
  <si>
    <t>Inherent score</t>
  </si>
  <si>
    <t>Control</t>
  </si>
  <si>
    <t>Negligible: no effect on confidentiality, integrity or availability</t>
  </si>
  <si>
    <t>Residual L</t>
  </si>
  <si>
    <t>Residual I</t>
  </si>
  <si>
    <t>Residual score</t>
  </si>
  <si>
    <t>Evidence</t>
  </si>
  <si>
    <t>Unlikely: requires unusual conditions or insider error</t>
  </si>
  <si>
    <t>Owner</t>
  </si>
  <si>
    <t>Status</t>
  </si>
  <si>
    <t>Minor: contained, fixed in hours, no data exposure</t>
  </si>
  <si>
    <t>Possible: plausible within the project lifetime</t>
  </si>
  <si>
    <t>R-01</t>
  </si>
  <si>
    <t>Moderate: one component degraded, limited data exposure</t>
  </si>
  <si>
    <t>Likely: expected without the control in place</t>
  </si>
  <si>
    <t>Major: detections blind or secrets exposed, repo integrity at risk</t>
  </si>
  <si>
    <t>Almost certain: already observed or trivially triggered</t>
  </si>
  <si>
    <t>Severe: full compromise of the project or its credentials</t>
  </si>
  <si>
    <t>Score bands</t>
  </si>
  <si>
    <t>Inherent / residual score = Likelihood x Impact</t>
  </si>
  <si>
    <t>Operational</t>
  </si>
  <si>
    <t>1 - 7</t>
  </si>
  <si>
    <t>main branch</t>
  </si>
  <si>
    <t>Low (green)</t>
  </si>
  <si>
    <t>AI agent commits code bypassing review</t>
  </si>
  <si>
    <t>Agent has push rights, no branch protection</t>
  </si>
  <si>
    <t>8 - 14</t>
  </si>
  <si>
    <t>Medium (amber)</t>
  </si>
  <si>
    <t>15 - 25</t>
  </si>
  <si>
    <t>High (red)</t>
  </si>
  <si>
    <t>Ruleset: PR required, status checks required, no direct push</t>
  </si>
  <si>
    <t>Open</t>
  </si>
  <si>
    <t>R-02</t>
  </si>
  <si>
    <t>Repository secrets</t>
  </si>
  <si>
    <t>Agent or student commits a plaintext API key</t>
  </si>
  <si>
    <t>T1552.001</t>
  </si>
  <si>
    <t>No secret scanning before push</t>
  </si>
  <si>
    <t>pre-commit gitleaks hook</t>
  </si>
  <si>
    <t>R-03</t>
  </si>
  <si>
    <t>Internal</t>
  </si>
  <si>
    <t>R-04</t>
  </si>
  <si>
    <t>External</t>
  </si>
  <si>
    <t>R-05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</si>
</sst>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3.0"/>
      <color theme="1"/>
      <name val="Calibri"/>
      <scheme val="minor"/>
    </font>
    <font>
      <sz val="11.0"/>
      <color theme="1"/>
      <name val="Calibri"/>
    </font>
    <font>
      <b/>
      <color theme="1"/>
      <name val="Calibri"/>
      <scheme val="minor"/>
    </font>
    <font>
      <b/>
      <color rgb="FFFFFFFF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</fills>
  <borders count="3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1"/>
    </xf>
    <xf borderId="0" fillId="0" fontId="2" numFmtId="0" xfId="0" applyAlignment="1" applyFont="1">
      <alignment shrinkToFit="0" vertical="top" wrapText="1"/>
    </xf>
    <xf borderId="0" fillId="0" fontId="3" numFmtId="0" xfId="0" applyAlignment="1" applyFont="1">
      <alignment shrinkToFit="0" vertical="top" wrapText="1"/>
    </xf>
    <xf borderId="1" fillId="2" fontId="4" numFmtId="0" xfId="0" applyAlignment="1" applyBorder="1" applyFill="1" applyFont="1">
      <alignment horizontal="center" shrinkToFit="0" vertical="center" wrapText="1"/>
    </xf>
    <xf borderId="2" fillId="2" fontId="4" numFmtId="0" xfId="0" applyBorder="1" applyFill="1" applyFont="1"/>
    <xf borderId="1" fillId="0" fontId="2" numFmtId="0" xfId="0" applyAlignment="1" applyBorder="1" applyFont="1">
      <alignment shrinkToFit="0" vertical="top" wrapText="1"/>
    </xf>
    <xf borderId="1" fillId="0" fontId="2" numFmtId="0" xfId="0" applyAlignment="1" applyBorder="1" applyFont="1">
      <alignment horizontal="center" vertical="top"/>
    </xf>
    <xf borderId="1" fillId="0" fontId="2" numFmtId="0" xfId="0" applyAlignment="1" applyBorder="1" applyFont="1">
      <alignment readingOrder="0" shrinkToFit="0" vertical="top" wrapText="1"/>
    </xf>
  </cellXfs>
  <cellStyles count="1">
    <cellStyle xfId="0" name="Normal" builtinId="0"/>
  </cellStyles>
  <dxfs count="3">
    <dxf>
      <font/>
      <fill>
        <patternFill patternType="solid">
          <fgColor rgb="FFF8CBAD"/>
          <bgColor rgb="FFF8CBAD"/>
        </patternFill>
      </fill>
      <border/>
    </dxf>
    <dxf>
      <font/>
      <fill>
        <patternFill patternType="solid">
          <fgColor rgb="FFFFE699"/>
          <bgColor rgb="FFFFE699"/>
        </patternFill>
      </fill>
      <border/>
    </dxf>
    <dxf>
      <font/>
      <fill>
        <patternFill patternType="solid">
          <fgColor rgb="FFC6E0B4"/>
          <bgColor rgb="FFC6E0B4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0.0"/>
    <col customWidth="1" min="2" max="26" width="8.71"/>
  </cols>
  <sheetData>
    <row r="1">
      <c r="A1" s="1" t="s">
        <v>0</v>
      </c>
    </row>
    <row r="2">
      <c r="A2" s="2"/>
    </row>
    <row r="3">
      <c r="A3" s="2" t="s">
        <v>2</v>
      </c>
    </row>
    <row r="4">
      <c r="A4" s="2"/>
    </row>
    <row r="5">
      <c r="A5" s="3" t="s">
        <v>3</v>
      </c>
    </row>
    <row r="6">
      <c r="A6" s="2" t="s">
        <v>5</v>
      </c>
    </row>
    <row r="7">
      <c r="A7" s="2" t="s">
        <v>6</v>
      </c>
    </row>
    <row r="8">
      <c r="A8" s="2" t="s">
        <v>7</v>
      </c>
    </row>
    <row r="9">
      <c r="A9" s="2" t="s">
        <v>8</v>
      </c>
    </row>
    <row r="10">
      <c r="A10" s="2" t="s">
        <v>9</v>
      </c>
    </row>
    <row r="11">
      <c r="A11" s="2" t="s">
        <v>10</v>
      </c>
    </row>
    <row r="12">
      <c r="A12" s="2"/>
    </row>
    <row r="13">
      <c r="A13" s="2" t="s">
        <v>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7.0"/>
    <col customWidth="1" min="2" max="2" width="13.0"/>
    <col customWidth="1" min="3" max="3" width="22.0"/>
    <col customWidth="1" min="4" max="4" width="34.0"/>
    <col customWidth="1" min="5" max="5" width="11.0"/>
    <col customWidth="1" min="6" max="6" width="30.0"/>
    <col customWidth="1" min="7" max="7" width="11.0"/>
    <col customWidth="1" min="8" max="9" width="10.0"/>
    <col customWidth="1" min="10" max="10" width="40.0"/>
    <col customWidth="1" min="11" max="13" width="10.0"/>
    <col customWidth="1" min="14" max="14" width="34.0"/>
    <col customWidth="1" min="15" max="15" width="12.0"/>
    <col customWidth="1" min="16" max="16" width="13.0"/>
    <col customWidth="1" min="17" max="26" width="8.71"/>
  </cols>
  <sheetData>
    <row r="1" ht="31.5" customHeight="1">
      <c r="A1" s="4" t="s">
        <v>1</v>
      </c>
      <c r="B1" s="4" t="s">
        <v>11</v>
      </c>
      <c r="C1" s="4" t="s">
        <v>14</v>
      </c>
      <c r="D1" s="4" t="s">
        <v>16</v>
      </c>
      <c r="E1" s="4" t="s">
        <v>17</v>
      </c>
      <c r="F1" s="4" t="s">
        <v>18</v>
      </c>
      <c r="G1" s="4" t="s">
        <v>19</v>
      </c>
      <c r="H1" s="4" t="s">
        <v>20</v>
      </c>
      <c r="I1" s="4" t="s">
        <v>22</v>
      </c>
      <c r="J1" s="4" t="s">
        <v>23</v>
      </c>
      <c r="K1" s="4" t="s">
        <v>25</v>
      </c>
      <c r="L1" s="4" t="s">
        <v>26</v>
      </c>
      <c r="M1" s="4" t="s">
        <v>27</v>
      </c>
      <c r="N1" s="4" t="s">
        <v>28</v>
      </c>
      <c r="O1" s="4" t="s">
        <v>30</v>
      </c>
      <c r="P1" s="4" t="s">
        <v>31</v>
      </c>
    </row>
    <row r="2">
      <c r="A2" s="6" t="s">
        <v>34</v>
      </c>
      <c r="B2" s="6" t="s">
        <v>42</v>
      </c>
      <c r="C2" s="6" t="s">
        <v>44</v>
      </c>
      <c r="D2" s="6" t="s">
        <v>46</v>
      </c>
      <c r="E2" s="6"/>
      <c r="F2" s="6" t="s">
        <v>47</v>
      </c>
      <c r="G2" s="7">
        <v>4.0</v>
      </c>
      <c r="H2" s="7">
        <v>4.0</v>
      </c>
      <c r="I2" s="7">
        <f t="shared" ref="I2:I3" si="1">IF(AND(ISNUMBER(G2),ISNUMBER(H2)),G2*H2,"")</f>
        <v>16</v>
      </c>
      <c r="J2" s="6" t="s">
        <v>52</v>
      </c>
      <c r="K2" s="7">
        <v>1.0</v>
      </c>
      <c r="L2" s="7">
        <v>4.0</v>
      </c>
      <c r="M2" s="7">
        <f t="shared" ref="M2:M3" si="2">IF(AND(ISNUMBER(K2),ISNUMBER(L2)),K2*L2,"")</f>
        <v>4</v>
      </c>
      <c r="N2" s="6"/>
      <c r="O2" s="6"/>
      <c r="P2" s="8" t="s">
        <v>53</v>
      </c>
    </row>
    <row r="3">
      <c r="A3" s="6" t="s">
        <v>54</v>
      </c>
      <c r="B3" s="6" t="s">
        <v>42</v>
      </c>
      <c r="C3" s="6" t="s">
        <v>55</v>
      </c>
      <c r="D3" s="6" t="s">
        <v>56</v>
      </c>
      <c r="E3" s="6" t="s">
        <v>57</v>
      </c>
      <c r="F3" s="6" t="s">
        <v>58</v>
      </c>
      <c r="G3" s="7">
        <v>4.0</v>
      </c>
      <c r="H3" s="7">
        <v>5.0</v>
      </c>
      <c r="I3" s="7">
        <f t="shared" si="1"/>
        <v>20</v>
      </c>
      <c r="J3" s="8" t="s">
        <v>59</v>
      </c>
      <c r="K3" s="7">
        <v>2.0</v>
      </c>
      <c r="L3" s="7">
        <v>3.0</v>
      </c>
      <c r="M3" s="7">
        <f t="shared" si="2"/>
        <v>6</v>
      </c>
      <c r="N3" s="6"/>
      <c r="O3" s="6"/>
      <c r="P3" s="8" t="s">
        <v>53</v>
      </c>
    </row>
    <row r="4">
      <c r="A4" s="6" t="s">
        <v>60</v>
      </c>
      <c r="B4" s="6" t="s">
        <v>61</v>
      </c>
      <c r="C4" s="6"/>
      <c r="D4" s="6"/>
      <c r="E4" s="6"/>
      <c r="F4" s="6"/>
      <c r="G4" s="7"/>
      <c r="H4" s="7"/>
      <c r="I4" s="7"/>
      <c r="J4" s="6"/>
      <c r="K4" s="7"/>
      <c r="L4" s="7"/>
      <c r="M4" s="7"/>
      <c r="N4" s="6"/>
      <c r="O4" s="6"/>
      <c r="P4" s="6" t="s">
        <v>53</v>
      </c>
    </row>
    <row r="5">
      <c r="A5" s="6" t="s">
        <v>62</v>
      </c>
      <c r="B5" s="6" t="s">
        <v>63</v>
      </c>
      <c r="C5" s="6"/>
      <c r="D5" s="6"/>
      <c r="E5" s="6"/>
      <c r="F5" s="6"/>
      <c r="G5" s="7"/>
      <c r="H5" s="7"/>
      <c r="I5" s="7"/>
      <c r="J5" s="6"/>
      <c r="K5" s="7"/>
      <c r="L5" s="7"/>
      <c r="M5" s="7"/>
      <c r="N5" s="6"/>
      <c r="O5" s="6"/>
      <c r="P5" s="6" t="s">
        <v>53</v>
      </c>
    </row>
    <row r="6">
      <c r="A6" s="6" t="s">
        <v>64</v>
      </c>
      <c r="B6" s="6" t="s">
        <v>63</v>
      </c>
      <c r="C6" s="6"/>
      <c r="D6" s="6"/>
      <c r="E6" s="6"/>
      <c r="F6" s="6"/>
      <c r="G6" s="7"/>
      <c r="H6" s="7"/>
      <c r="I6" s="7"/>
      <c r="J6" s="6"/>
      <c r="K6" s="7"/>
      <c r="L6" s="7"/>
      <c r="M6" s="7"/>
      <c r="N6" s="6"/>
      <c r="O6" s="6"/>
      <c r="P6" s="6" t="s">
        <v>53</v>
      </c>
    </row>
    <row r="7">
      <c r="A7" s="6"/>
      <c r="B7" s="6"/>
      <c r="C7" s="6"/>
      <c r="D7" s="6"/>
      <c r="E7" s="6"/>
      <c r="F7" s="6"/>
      <c r="G7" s="7"/>
      <c r="H7" s="7"/>
      <c r="I7" s="7" t="str">
        <f t="shared" ref="I7:I26" si="3">IF(AND(ISNUMBER(G7),ISNUMBER(H7)),G7*H7,"")</f>
        <v/>
      </c>
      <c r="J7" s="6"/>
      <c r="K7" s="7"/>
      <c r="L7" s="7"/>
      <c r="M7" s="7" t="str">
        <f t="shared" ref="M7:M26" si="4">IF(AND(ISNUMBER(K7),ISNUMBER(L7)),K7*L7,"")</f>
        <v/>
      </c>
      <c r="N7" s="6"/>
      <c r="O7" s="6"/>
      <c r="P7" s="6"/>
    </row>
    <row r="8">
      <c r="A8" s="6"/>
      <c r="B8" s="6"/>
      <c r="C8" s="6"/>
      <c r="D8" s="6"/>
      <c r="E8" s="6"/>
      <c r="F8" s="6"/>
      <c r="G8" s="7"/>
      <c r="H8" s="7"/>
      <c r="I8" s="7" t="str">
        <f t="shared" si="3"/>
        <v/>
      </c>
      <c r="J8" s="6"/>
      <c r="K8" s="7"/>
      <c r="L8" s="7"/>
      <c r="M8" s="7" t="str">
        <f t="shared" si="4"/>
        <v/>
      </c>
      <c r="N8" s="6"/>
      <c r="O8" s="6"/>
      <c r="P8" s="6"/>
    </row>
    <row r="9">
      <c r="A9" s="6"/>
      <c r="B9" s="6"/>
      <c r="C9" s="6"/>
      <c r="D9" s="6"/>
      <c r="E9" s="6"/>
      <c r="F9" s="6"/>
      <c r="G9" s="7"/>
      <c r="H9" s="7"/>
      <c r="I9" s="7" t="str">
        <f t="shared" si="3"/>
        <v/>
      </c>
      <c r="J9" s="6"/>
      <c r="K9" s="7"/>
      <c r="L9" s="7"/>
      <c r="M9" s="7" t="str">
        <f t="shared" si="4"/>
        <v/>
      </c>
      <c r="N9" s="6"/>
      <c r="O9" s="6"/>
      <c r="P9" s="6"/>
    </row>
    <row r="10">
      <c r="A10" s="6"/>
      <c r="B10" s="6"/>
      <c r="C10" s="6"/>
      <c r="D10" s="6"/>
      <c r="E10" s="6"/>
      <c r="F10" s="6"/>
      <c r="G10" s="7"/>
      <c r="H10" s="7"/>
      <c r="I10" s="7" t="str">
        <f t="shared" si="3"/>
        <v/>
      </c>
      <c r="J10" s="6"/>
      <c r="K10" s="7"/>
      <c r="L10" s="7"/>
      <c r="M10" s="7" t="str">
        <f t="shared" si="4"/>
        <v/>
      </c>
      <c r="N10" s="6"/>
      <c r="O10" s="6"/>
      <c r="P10" s="6"/>
    </row>
    <row r="11">
      <c r="A11" s="6"/>
      <c r="B11" s="6"/>
      <c r="C11" s="6"/>
      <c r="D11" s="6"/>
      <c r="E11" s="6"/>
      <c r="F11" s="6"/>
      <c r="G11" s="7"/>
      <c r="H11" s="7"/>
      <c r="I11" s="7" t="str">
        <f t="shared" si="3"/>
        <v/>
      </c>
      <c r="J11" s="6"/>
      <c r="K11" s="7"/>
      <c r="L11" s="7"/>
      <c r="M11" s="7" t="str">
        <f t="shared" si="4"/>
        <v/>
      </c>
      <c r="N11" s="6"/>
      <c r="O11" s="6"/>
      <c r="P11" s="6"/>
    </row>
    <row r="12">
      <c r="A12" s="6"/>
      <c r="B12" s="6"/>
      <c r="C12" s="6"/>
      <c r="D12" s="6"/>
      <c r="E12" s="6"/>
      <c r="F12" s="6"/>
      <c r="G12" s="7"/>
      <c r="H12" s="7"/>
      <c r="I12" s="7" t="str">
        <f t="shared" si="3"/>
        <v/>
      </c>
      <c r="J12" s="6"/>
      <c r="K12" s="7"/>
      <c r="L12" s="7"/>
      <c r="M12" s="7" t="str">
        <f t="shared" si="4"/>
        <v/>
      </c>
      <c r="N12" s="6"/>
      <c r="O12" s="6"/>
      <c r="P12" s="6"/>
    </row>
    <row r="13">
      <c r="A13" s="6"/>
      <c r="B13" s="6"/>
      <c r="C13" s="6"/>
      <c r="D13" s="6"/>
      <c r="E13" s="6"/>
      <c r="F13" s="6"/>
      <c r="G13" s="7"/>
      <c r="H13" s="7"/>
      <c r="I13" s="7" t="str">
        <f t="shared" si="3"/>
        <v/>
      </c>
      <c r="J13" s="6"/>
      <c r="K13" s="7"/>
      <c r="L13" s="7"/>
      <c r="M13" s="7" t="str">
        <f t="shared" si="4"/>
        <v/>
      </c>
      <c r="N13" s="6"/>
      <c r="O13" s="6"/>
      <c r="P13" s="6"/>
    </row>
    <row r="14">
      <c r="A14" s="6"/>
      <c r="B14" s="6"/>
      <c r="C14" s="6"/>
      <c r="D14" s="6"/>
      <c r="E14" s="6"/>
      <c r="F14" s="6"/>
      <c r="G14" s="7"/>
      <c r="H14" s="7"/>
      <c r="I14" s="7" t="str">
        <f t="shared" si="3"/>
        <v/>
      </c>
      <c r="J14" s="6"/>
      <c r="K14" s="7"/>
      <c r="L14" s="7"/>
      <c r="M14" s="7" t="str">
        <f t="shared" si="4"/>
        <v/>
      </c>
      <c r="N14" s="6"/>
      <c r="O14" s="6"/>
      <c r="P14" s="6"/>
    </row>
    <row r="15">
      <c r="A15" s="6"/>
      <c r="B15" s="6"/>
      <c r="C15" s="6"/>
      <c r="D15" s="6"/>
      <c r="E15" s="6"/>
      <c r="F15" s="6"/>
      <c r="G15" s="7"/>
      <c r="H15" s="7"/>
      <c r="I15" s="7" t="str">
        <f t="shared" si="3"/>
        <v/>
      </c>
      <c r="J15" s="6"/>
      <c r="K15" s="7"/>
      <c r="L15" s="7"/>
      <c r="M15" s="7" t="str">
        <f t="shared" si="4"/>
        <v/>
      </c>
      <c r="N15" s="6"/>
      <c r="O15" s="6"/>
      <c r="P15" s="6"/>
    </row>
    <row r="16">
      <c r="A16" s="6"/>
      <c r="B16" s="6"/>
      <c r="C16" s="6"/>
      <c r="D16" s="6"/>
      <c r="E16" s="6"/>
      <c r="F16" s="6"/>
      <c r="G16" s="7"/>
      <c r="H16" s="7"/>
      <c r="I16" s="7" t="str">
        <f t="shared" si="3"/>
        <v/>
      </c>
      <c r="J16" s="6"/>
      <c r="K16" s="7"/>
      <c r="L16" s="7"/>
      <c r="M16" s="7" t="str">
        <f t="shared" si="4"/>
        <v/>
      </c>
      <c r="N16" s="6"/>
      <c r="O16" s="6"/>
      <c r="P16" s="6"/>
    </row>
    <row r="17">
      <c r="A17" s="6"/>
      <c r="B17" s="6"/>
      <c r="C17" s="6"/>
      <c r="D17" s="6"/>
      <c r="E17" s="6"/>
      <c r="F17" s="6"/>
      <c r="G17" s="7"/>
      <c r="H17" s="7"/>
      <c r="I17" s="7" t="str">
        <f t="shared" si="3"/>
        <v/>
      </c>
      <c r="J17" s="6"/>
      <c r="K17" s="7"/>
      <c r="L17" s="7"/>
      <c r="M17" s="7" t="str">
        <f t="shared" si="4"/>
        <v/>
      </c>
      <c r="N17" s="6"/>
      <c r="O17" s="6"/>
      <c r="P17" s="6"/>
    </row>
    <row r="18">
      <c r="A18" s="6"/>
      <c r="B18" s="6"/>
      <c r="C18" s="6"/>
      <c r="D18" s="6"/>
      <c r="E18" s="6"/>
      <c r="F18" s="6"/>
      <c r="G18" s="7"/>
      <c r="H18" s="7"/>
      <c r="I18" s="7" t="str">
        <f t="shared" si="3"/>
        <v/>
      </c>
      <c r="J18" s="6"/>
      <c r="K18" s="7"/>
      <c r="L18" s="7"/>
      <c r="M18" s="7" t="str">
        <f t="shared" si="4"/>
        <v/>
      </c>
      <c r="N18" s="6"/>
      <c r="O18" s="6"/>
      <c r="P18" s="6"/>
    </row>
    <row r="19">
      <c r="A19" s="6"/>
      <c r="B19" s="6"/>
      <c r="C19" s="6"/>
      <c r="D19" s="6"/>
      <c r="E19" s="6"/>
      <c r="F19" s="6"/>
      <c r="G19" s="7"/>
      <c r="H19" s="7"/>
      <c r="I19" s="7" t="str">
        <f t="shared" si="3"/>
        <v/>
      </c>
      <c r="J19" s="6"/>
      <c r="K19" s="7"/>
      <c r="L19" s="7"/>
      <c r="M19" s="7" t="str">
        <f t="shared" si="4"/>
        <v/>
      </c>
      <c r="N19" s="6"/>
      <c r="O19" s="6"/>
      <c r="P19" s="6"/>
    </row>
    <row r="20">
      <c r="A20" s="6"/>
      <c r="B20" s="6"/>
      <c r="C20" s="6"/>
      <c r="D20" s="6"/>
      <c r="E20" s="6"/>
      <c r="F20" s="6"/>
      <c r="G20" s="7"/>
      <c r="H20" s="7"/>
      <c r="I20" s="7" t="str">
        <f t="shared" si="3"/>
        <v/>
      </c>
      <c r="J20" s="6"/>
      <c r="K20" s="7"/>
      <c r="L20" s="7"/>
      <c r="M20" s="7" t="str">
        <f t="shared" si="4"/>
        <v/>
      </c>
      <c r="N20" s="6"/>
      <c r="O20" s="6"/>
      <c r="P20" s="6"/>
    </row>
    <row r="21" ht="15.75" customHeight="1">
      <c r="A21" s="6"/>
      <c r="B21" s="6"/>
      <c r="C21" s="6"/>
      <c r="D21" s="6"/>
      <c r="E21" s="6"/>
      <c r="F21" s="6"/>
      <c r="G21" s="7"/>
      <c r="H21" s="7"/>
      <c r="I21" s="7" t="str">
        <f t="shared" si="3"/>
        <v/>
      </c>
      <c r="J21" s="6"/>
      <c r="K21" s="7"/>
      <c r="L21" s="7"/>
      <c r="M21" s="7" t="str">
        <f t="shared" si="4"/>
        <v/>
      </c>
      <c r="N21" s="6"/>
      <c r="O21" s="6"/>
      <c r="P21" s="6"/>
    </row>
    <row r="22" ht="15.75" customHeight="1">
      <c r="A22" s="6"/>
      <c r="B22" s="6"/>
      <c r="C22" s="6"/>
      <c r="D22" s="6"/>
      <c r="E22" s="6"/>
      <c r="F22" s="6"/>
      <c r="G22" s="7"/>
      <c r="H22" s="7"/>
      <c r="I22" s="7" t="str">
        <f t="shared" si="3"/>
        <v/>
      </c>
      <c r="J22" s="6"/>
      <c r="K22" s="7"/>
      <c r="L22" s="7"/>
      <c r="M22" s="7" t="str">
        <f t="shared" si="4"/>
        <v/>
      </c>
      <c r="N22" s="6"/>
      <c r="O22" s="6"/>
      <c r="P22" s="6"/>
    </row>
    <row r="23" ht="15.75" customHeight="1">
      <c r="A23" s="6"/>
      <c r="B23" s="6"/>
      <c r="C23" s="6"/>
      <c r="D23" s="6"/>
      <c r="E23" s="6"/>
      <c r="F23" s="6"/>
      <c r="G23" s="7"/>
      <c r="H23" s="7"/>
      <c r="I23" s="7" t="str">
        <f t="shared" si="3"/>
        <v/>
      </c>
      <c r="J23" s="6"/>
      <c r="K23" s="7"/>
      <c r="L23" s="7"/>
      <c r="M23" s="7" t="str">
        <f t="shared" si="4"/>
        <v/>
      </c>
      <c r="N23" s="6"/>
      <c r="O23" s="6"/>
      <c r="P23" s="6"/>
    </row>
    <row r="24" ht="15.75" customHeight="1">
      <c r="A24" s="6"/>
      <c r="B24" s="6"/>
      <c r="C24" s="6"/>
      <c r="D24" s="6"/>
      <c r="E24" s="6"/>
      <c r="F24" s="6"/>
      <c r="G24" s="7"/>
      <c r="H24" s="7"/>
      <c r="I24" s="7" t="str">
        <f t="shared" si="3"/>
        <v/>
      </c>
      <c r="J24" s="6"/>
      <c r="K24" s="7"/>
      <c r="L24" s="7"/>
      <c r="M24" s="7" t="str">
        <f t="shared" si="4"/>
        <v/>
      </c>
      <c r="N24" s="6"/>
      <c r="O24" s="6"/>
      <c r="P24" s="6"/>
    </row>
    <row r="25" ht="15.75" customHeight="1">
      <c r="A25" s="6"/>
      <c r="B25" s="6"/>
      <c r="C25" s="6"/>
      <c r="D25" s="6"/>
      <c r="E25" s="6"/>
      <c r="F25" s="6"/>
      <c r="G25" s="7"/>
      <c r="H25" s="7"/>
      <c r="I25" s="7" t="str">
        <f t="shared" si="3"/>
        <v/>
      </c>
      <c r="J25" s="6"/>
      <c r="K25" s="7"/>
      <c r="L25" s="7"/>
      <c r="M25" s="7" t="str">
        <f t="shared" si="4"/>
        <v/>
      </c>
      <c r="N25" s="6"/>
      <c r="O25" s="6"/>
      <c r="P25" s="6"/>
    </row>
    <row r="26" ht="15.75" customHeight="1">
      <c r="A26" s="6"/>
      <c r="B26" s="6"/>
      <c r="C26" s="6"/>
      <c r="D26" s="6"/>
      <c r="E26" s="6"/>
      <c r="F26" s="6"/>
      <c r="G26" s="7"/>
      <c r="H26" s="7"/>
      <c r="I26" s="7" t="str">
        <f t="shared" si="3"/>
        <v/>
      </c>
      <c r="J26" s="6"/>
      <c r="K26" s="7"/>
      <c r="L26" s="7"/>
      <c r="M26" s="7" t="str">
        <f t="shared" si="4"/>
        <v/>
      </c>
      <c r="N26" s="6"/>
      <c r="O26" s="6"/>
      <c r="P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P$26"/>
  <conditionalFormatting sqref="I2:I26">
    <cfRule type="cellIs" dxfId="0" priority="1" operator="greaterThanOrEqual">
      <formula>15</formula>
    </cfRule>
  </conditionalFormatting>
  <conditionalFormatting sqref="I2:I26">
    <cfRule type="cellIs" dxfId="1" priority="2" operator="between">
      <formula>8</formula>
      <formula>14</formula>
    </cfRule>
  </conditionalFormatting>
  <conditionalFormatting sqref="I2:I26">
    <cfRule type="cellIs" dxfId="2" priority="3" operator="between">
      <formula>1</formula>
      <formula>7</formula>
    </cfRule>
  </conditionalFormatting>
  <conditionalFormatting sqref="M2:M26">
    <cfRule type="cellIs" dxfId="0" priority="4" operator="greaterThanOrEqual">
      <formula>15</formula>
    </cfRule>
  </conditionalFormatting>
  <conditionalFormatting sqref="M2:M26">
    <cfRule type="cellIs" dxfId="1" priority="5" operator="between">
      <formula>8</formula>
      <formula>14</formula>
    </cfRule>
  </conditionalFormatting>
  <conditionalFormatting sqref="M2:M26">
    <cfRule type="cellIs" dxfId="2" priority="6" operator="between">
      <formula>1</formula>
      <formula>7</formula>
    </cfRule>
  </conditionalFormatting>
  <conditionalFormatting sqref="N2:N26">
    <cfRule type="expression" dxfId="0" priority="7">
      <formula>AND(OR($P2="Implemented",$P2="Verified"),$N2="")</formula>
    </cfRule>
  </conditionalFormatting>
  <dataValidations>
    <dataValidation type="list" allowBlank="1" sqref="P2:P26">
      <formula1>"Open,Implemented,Verified,Accepted"</formula1>
    </dataValidation>
    <dataValidation type="decimal" allowBlank="1" sqref="G2:H26 K2:L26">
      <formula1>1.0</formula1>
      <formula2>5.0</formula2>
    </dataValidation>
    <dataValidation type="list" allowBlank="1" sqref="B2:B26">
      <formula1>"Operational,Internal,External"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55.0"/>
    <col customWidth="1" min="3" max="3" width="60.0"/>
    <col customWidth="1" min="4" max="26" width="8.71"/>
  </cols>
  <sheetData>
    <row r="1">
      <c r="A1" s="5" t="s">
        <v>4</v>
      </c>
      <c r="B1" s="5" t="s">
        <v>13</v>
      </c>
      <c r="C1" s="5" t="s">
        <v>15</v>
      </c>
    </row>
    <row r="2">
      <c r="A2" s="2">
        <v>1.0</v>
      </c>
      <c r="B2" s="2" t="s">
        <v>21</v>
      </c>
      <c r="C2" s="2" t="s">
        <v>24</v>
      </c>
    </row>
    <row r="3">
      <c r="A3" s="2">
        <v>2.0</v>
      </c>
      <c r="B3" s="2" t="s">
        <v>29</v>
      </c>
      <c r="C3" s="2" t="s">
        <v>32</v>
      </c>
    </row>
    <row r="4">
      <c r="A4" s="2">
        <v>3.0</v>
      </c>
      <c r="B4" s="2" t="s">
        <v>33</v>
      </c>
      <c r="C4" s="2" t="s">
        <v>35</v>
      </c>
    </row>
    <row r="5">
      <c r="A5" s="2">
        <v>4.0</v>
      </c>
      <c r="B5" s="2" t="s">
        <v>36</v>
      </c>
      <c r="C5" s="2" t="s">
        <v>37</v>
      </c>
    </row>
    <row r="6">
      <c r="A6" s="2">
        <v>5.0</v>
      </c>
      <c r="B6" s="2" t="s">
        <v>38</v>
      </c>
      <c r="C6" s="2" t="s">
        <v>39</v>
      </c>
    </row>
    <row r="7">
      <c r="A7" s="2"/>
      <c r="B7" s="2"/>
      <c r="C7" s="2"/>
    </row>
    <row r="8">
      <c r="A8" s="2" t="s">
        <v>40</v>
      </c>
      <c r="B8" s="2" t="s">
        <v>41</v>
      </c>
      <c r="C8" s="2"/>
    </row>
    <row r="9">
      <c r="A9" s="2" t="s">
        <v>43</v>
      </c>
      <c r="B9" s="2" t="s">
        <v>45</v>
      </c>
      <c r="C9" s="2"/>
    </row>
    <row r="10">
      <c r="A10" s="2" t="s">
        <v>48</v>
      </c>
      <c r="B10" s="2" t="s">
        <v>49</v>
      </c>
      <c r="C10" s="2"/>
    </row>
    <row r="11">
      <c r="A11" s="2" t="s">
        <v>50</v>
      </c>
      <c r="B11" s="2" t="s">
        <v>51</v>
      </c>
      <c r="C11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